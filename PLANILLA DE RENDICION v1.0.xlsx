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idos\Desktop\"/>
    </mc:Choice>
  </mc:AlternateContent>
  <bookViews>
    <workbookView xWindow="0" yWindow="0" windowWidth="20490" windowHeight="7365"/>
  </bookViews>
  <sheets>
    <sheet name="Rendición" sheetId="4" r:id="rId1"/>
  </sheets>
  <definedNames>
    <definedName name="_xlnm.Print_Area" localSheetId="0">Rendición!$A$1:$P$24</definedName>
  </definedNames>
  <calcPr calcId="152511"/>
</workbook>
</file>

<file path=xl/calcChain.xml><?xml version="1.0" encoding="utf-8"?>
<calcChain xmlns="http://schemas.openxmlformats.org/spreadsheetml/2006/main">
  <c r="M5" i="4" l="1"/>
  <c r="M6" i="4"/>
  <c r="L5" i="4" l="1"/>
  <c r="O14" i="4"/>
  <c r="O15" i="4" l="1"/>
  <c r="O13" i="4" l="1"/>
  <c r="O18" i="4"/>
  <c r="O17" i="4"/>
  <c r="O16" i="4"/>
  <c r="G20" i="4"/>
  <c r="F20" i="4"/>
  <c r="E20" i="4"/>
  <c r="K23" i="4" l="1"/>
  <c r="K22" i="4"/>
  <c r="L18" i="4" l="1"/>
  <c r="N18" i="4" s="1"/>
  <c r="L17" i="4"/>
  <c r="N17" i="4" s="1"/>
  <c r="L16" i="4"/>
  <c r="N16" i="4" s="1"/>
  <c r="L15" i="4"/>
  <c r="N15" i="4" s="1"/>
  <c r="L14" i="4"/>
  <c r="N14" i="4" s="1"/>
  <c r="L13" i="4"/>
  <c r="N13" i="4" s="1"/>
  <c r="L11" i="4"/>
  <c r="M11" i="4" s="1"/>
  <c r="L10" i="4"/>
  <c r="M10" i="4" s="1"/>
  <c r="L9" i="4"/>
  <c r="M9" i="4" s="1"/>
  <c r="L7" i="4"/>
  <c r="M7" i="4" s="1"/>
  <c r="L6" i="4"/>
  <c r="J20" i="4" l="1"/>
  <c r="K20" i="4" l="1"/>
  <c r="I20" i="4"/>
  <c r="H20" i="4"/>
  <c r="H22" i="4"/>
  <c r="H24" i="4" s="1"/>
  <c r="N20" i="4" l="1"/>
  <c r="L23" i="4" s="1"/>
  <c r="O20" i="4"/>
  <c r="M20" i="4"/>
  <c r="L22" i="4" s="1"/>
  <c r="L20" i="4"/>
  <c r="L24" i="4" l="1"/>
</calcChain>
</file>

<file path=xl/sharedStrings.xml><?xml version="1.0" encoding="utf-8"?>
<sst xmlns="http://schemas.openxmlformats.org/spreadsheetml/2006/main" count="35" uniqueCount="24">
  <si>
    <t>Fecha:</t>
  </si>
  <si>
    <t>TOTAL</t>
  </si>
  <si>
    <t>MES:</t>
  </si>
  <si>
    <t>TOTAL EFECTIVO ENTREGADO</t>
  </si>
  <si>
    <t>TRANSFERENCIA</t>
  </si>
  <si>
    <t>EFECTIVO</t>
  </si>
  <si>
    <t>CHEQUE</t>
  </si>
  <si>
    <t>RETENCION</t>
  </si>
  <si>
    <t>COMISION 2,5%</t>
  </si>
  <si>
    <t xml:space="preserve"> </t>
  </si>
  <si>
    <t>E-CHEQ</t>
  </si>
  <si>
    <t xml:space="preserve">RETIRE COMISION  </t>
  </si>
  <si>
    <t>DEP BANCARIO</t>
  </si>
  <si>
    <t>NUMERO:</t>
  </si>
  <si>
    <t>RECIBO</t>
  </si>
  <si>
    <t>IMPUTACION</t>
  </si>
  <si>
    <t>CLIENTE</t>
  </si>
  <si>
    <t>COMISION 2%</t>
  </si>
  <si>
    <t>BONIFICACION</t>
  </si>
  <si>
    <t>VENDEDOR:</t>
  </si>
  <si>
    <t>AJUSTE CENTAVOS</t>
  </si>
  <si>
    <t>GIGANTE</t>
  </si>
  <si>
    <t>OBRAS</t>
  </si>
  <si>
    <t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</si>
</sst>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$&quot;\ * #,##0.00_-;\-&quot;$&quot;\ * #,##0.00_-;_-&quot;$&quot;\ * &quot;-&quot;??_-;_-@_-"/>
    <numFmt numFmtId="165" formatCode="_-&quot;$&quot;* #,##0.00_-;\-&quot;$&quot;* #,##0.00_-;_-&quot;$&quot;* &quot;-&quot;??_-;_-@_-"/>
    <numFmt numFmtId="166" formatCode="_ [$$-2C0A]\ * #,##0.00_ ;_ [$$-2C0A]\ * \-#,##0.00_ ;_ [$$-2C0A]\ * &quot;-&quot;??_ ;_ @_ "/>
    <numFmt numFmtId="167" formatCode="&quot;$&quot;\ #,##0.00"/>
    <numFmt numFmtId="168" formatCode="dd/mm/yyyy;@"/>
    <numFmt numFmtId="169" formatCode="[$$-2C0A]\ #,##0.000;\-[$$-2C0A]\ #,##0.000"/>
    <numFmt numFmtId="170" formatCode="_-&quot;$&quot;* #,##0.000_-;\-&quot;$&quot;* #,##0.00_-;_-&quot;$&quot;* &quot;-&quot;??_-;_-@_-"/>
    <numFmt numFmtId="171" formatCode="[$$-2C0A]\ #,##0.00;\-[$$-2C0A]\ #,##0.00"/>
  </numFmts>
  <fonts count="11" x14ac:knownFonts="1">
    <font>
      <sz val="10"/>
      <name val="Arial"/>
    </font>
    <font>
      <sz val="10"/>
      <name val="Arial"/>
      <family val="2"/>
    </font>
    <font>
      <b/>
      <sz val="16"/>
      <name val="Calibri"/>
      <family val="2"/>
    </font>
    <font>
      <sz val="16"/>
      <name val="Calibri"/>
      <family val="2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165" fontId="5" fillId="0" borderId="6" xfId="1" applyFont="1" applyFill="1" applyBorder="1" applyAlignment="1" applyProtection="1">
      <alignment horizontal="right" vertical="center"/>
    </xf>
    <xf numFmtId="165" fontId="4" fillId="0" borderId="5" xfId="1" applyFont="1" applyFill="1" applyBorder="1" applyAlignment="1" applyProtection="1">
      <alignment horizontal="right" vertical="center"/>
    </xf>
    <xf numFmtId="165" fontId="4" fillId="0" borderId="6" xfId="1" applyFont="1" applyBorder="1" applyAlignment="1" applyProtection="1">
      <alignment horizontal="right" vertical="center"/>
    </xf>
    <xf numFmtId="165" fontId="3" fillId="0" borderId="6" xfId="1" applyFont="1" applyBorder="1" applyAlignment="1" applyProtection="1">
      <alignment horizontal="left" vertical="center"/>
    </xf>
    <xf numFmtId="165" fontId="3" fillId="0" borderId="6" xfId="1" applyFont="1" applyFill="1" applyBorder="1" applyAlignment="1" applyProtection="1">
      <alignment horizontal="right" vertical="center"/>
    </xf>
    <xf numFmtId="165" fontId="8" fillId="0" borderId="1" xfId="1" applyFont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166" fontId="5" fillId="0" borderId="0" xfId="0" applyNumberFormat="1" applyFont="1" applyAlignment="1" applyProtection="1">
      <alignment horizontal="center" vertical="center"/>
    </xf>
    <xf numFmtId="1" fontId="2" fillId="0" borderId="6" xfId="0" applyNumberFormat="1" applyFont="1" applyBorder="1" applyAlignment="1" applyProtection="1">
      <alignment horizontal="center" vertical="center"/>
    </xf>
    <xf numFmtId="1" fontId="2" fillId="0" borderId="7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4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2" fontId="4" fillId="0" borderId="0" xfId="0" applyNumberFormat="1" applyFont="1" applyAlignment="1" applyProtection="1">
      <alignment horizontal="center" vertical="center"/>
    </xf>
    <xf numFmtId="165" fontId="4" fillId="0" borderId="0" xfId="1" applyFont="1" applyFill="1" applyBorder="1" applyAlignment="1" applyProtection="1">
      <alignment horizontal="center" vertical="center"/>
    </xf>
    <xf numFmtId="167" fontId="5" fillId="0" borderId="0" xfId="0" applyNumberFormat="1" applyFont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3" fontId="5" fillId="2" borderId="3" xfId="0" applyNumberFormat="1" applyFont="1" applyFill="1" applyBorder="1" applyAlignment="1" applyProtection="1">
      <alignment horizontal="center" vertical="center"/>
    </xf>
    <xf numFmtId="165" fontId="4" fillId="2" borderId="3" xfId="0" applyNumberFormat="1" applyFont="1" applyFill="1" applyBorder="1" applyAlignment="1" applyProtection="1">
      <alignment horizontal="center" vertical="center"/>
    </xf>
    <xf numFmtId="0" fontId="10" fillId="6" borderId="0" xfId="0" applyFont="1" applyFill="1" applyAlignment="1" applyProtection="1">
      <alignment horizontal="center" vertical="center"/>
    </xf>
    <xf numFmtId="0" fontId="5" fillId="6" borderId="0" xfId="0" applyFont="1" applyFill="1" applyAlignment="1" applyProtection="1">
      <alignment horizontal="center" vertical="center"/>
    </xf>
    <xf numFmtId="3" fontId="5" fillId="6" borderId="0" xfId="0" applyNumberFormat="1" applyFont="1" applyFill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166" fontId="5" fillId="0" borderId="3" xfId="0" applyNumberFormat="1" applyFont="1" applyBorder="1" applyAlignment="1" applyProtection="1">
      <alignment horizontal="center" vertical="center"/>
    </xf>
    <xf numFmtId="166" fontId="5" fillId="0" borderId="1" xfId="0" applyNumberFormat="1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165" fontId="3" fillId="0" borderId="6" xfId="1" applyFont="1" applyBorder="1" applyAlignment="1" applyProtection="1">
      <alignment horizontal="right" vertical="center"/>
    </xf>
    <xf numFmtId="168" fontId="5" fillId="3" borderId="1" xfId="0" applyNumberFormat="1" applyFont="1" applyFill="1" applyBorder="1" applyAlignment="1" applyProtection="1">
      <alignment horizontal="center" vertical="center"/>
      <protection locked="0"/>
    </xf>
    <xf numFmtId="17" fontId="5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</xf>
    <xf numFmtId="165" fontId="10" fillId="0" borderId="12" xfId="1" applyFont="1" applyBorder="1" applyAlignment="1" applyProtection="1">
      <alignment horizontal="center" vertical="center"/>
    </xf>
    <xf numFmtId="166" fontId="9" fillId="0" borderId="13" xfId="0" applyNumberFormat="1" applyFont="1" applyBorder="1" applyAlignment="1" applyProtection="1">
      <alignment horizontal="center" vertical="center"/>
    </xf>
    <xf numFmtId="165" fontId="10" fillId="0" borderId="14" xfId="1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165" fontId="10" fillId="0" borderId="17" xfId="1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70" fontId="8" fillId="2" borderId="1" xfId="1" applyNumberFormat="1" applyFont="1" applyFill="1" applyBorder="1" applyAlignment="1" applyProtection="1">
      <alignment horizontal="center" vertical="center"/>
    </xf>
    <xf numFmtId="170" fontId="8" fillId="6" borderId="20" xfId="1" applyNumberFormat="1" applyFont="1" applyFill="1" applyBorder="1" applyAlignment="1" applyProtection="1">
      <alignment horizontal="center" vertical="center"/>
      <protection locked="0"/>
    </xf>
    <xf numFmtId="170" fontId="8" fillId="0" borderId="1" xfId="1" applyNumberFormat="1" applyFont="1" applyBorder="1" applyAlignment="1" applyProtection="1">
      <alignment horizontal="center" vertical="center"/>
    </xf>
    <xf numFmtId="1" fontId="2" fillId="0" borderId="9" xfId="0" applyNumberFormat="1" applyFont="1" applyBorder="1" applyAlignment="1" applyProtection="1">
      <alignment horizontal="center" vertical="center"/>
    </xf>
    <xf numFmtId="1" fontId="2" fillId="7" borderId="2" xfId="0" applyNumberFormat="1" applyFont="1" applyFill="1" applyBorder="1" applyAlignment="1" applyProtection="1">
      <alignment horizontal="center" vertical="center"/>
    </xf>
    <xf numFmtId="1" fontId="2" fillId="7" borderId="3" xfId="0" applyNumberFormat="1" applyFont="1" applyFill="1" applyBorder="1" applyAlignment="1" applyProtection="1">
      <alignment horizontal="center" vertical="center"/>
    </xf>
    <xf numFmtId="165" fontId="5" fillId="7" borderId="3" xfId="1" applyNumberFormat="1" applyFont="1" applyFill="1" applyBorder="1" applyAlignment="1" applyProtection="1">
      <alignment horizontal="right" vertical="center"/>
    </xf>
    <xf numFmtId="165" fontId="4" fillId="7" borderId="3" xfId="1" applyFont="1" applyFill="1" applyBorder="1" applyAlignment="1" applyProtection="1">
      <alignment horizontal="right" vertical="center"/>
    </xf>
    <xf numFmtId="1" fontId="2" fillId="7" borderId="4" xfId="0" applyNumberFormat="1" applyFont="1" applyFill="1" applyBorder="1" applyAlignment="1" applyProtection="1">
      <alignment horizontal="center" vertical="center"/>
    </xf>
    <xf numFmtId="1" fontId="2" fillId="0" borderId="8" xfId="0" applyNumberFormat="1" applyFont="1" applyBorder="1" applyAlignment="1" applyProtection="1">
      <alignment horizontal="center" vertical="center"/>
    </xf>
    <xf numFmtId="1" fontId="2" fillId="0" borderId="23" xfId="0" applyNumberFormat="1" applyFont="1" applyBorder="1" applyAlignment="1" applyProtection="1">
      <alignment horizontal="center" vertical="center"/>
    </xf>
    <xf numFmtId="0" fontId="3" fillId="7" borderId="3" xfId="0" applyFont="1" applyFill="1" applyBorder="1" applyAlignment="1" applyProtection="1">
      <alignment horizontal="left" vertical="center"/>
    </xf>
    <xf numFmtId="165" fontId="3" fillId="7" borderId="3" xfId="1" applyFont="1" applyFill="1" applyBorder="1" applyAlignment="1" applyProtection="1">
      <alignment horizontal="left" vertical="center"/>
    </xf>
    <xf numFmtId="165" fontId="3" fillId="7" borderId="3" xfId="1" applyFont="1" applyFill="1" applyBorder="1" applyAlignment="1" applyProtection="1">
      <alignment horizontal="right" vertical="center"/>
    </xf>
    <xf numFmtId="170" fontId="5" fillId="7" borderId="3" xfId="1" applyNumberFormat="1" applyFont="1" applyFill="1" applyBorder="1" applyAlignment="1" applyProtection="1">
      <alignment horizontal="right" vertical="center"/>
    </xf>
    <xf numFmtId="165" fontId="5" fillId="7" borderId="3" xfId="1" applyFont="1" applyFill="1" applyBorder="1" applyAlignment="1" applyProtection="1">
      <alignment horizontal="right" vertical="center"/>
    </xf>
    <xf numFmtId="171" fontId="3" fillId="7" borderId="3" xfId="1" applyNumberFormat="1" applyFont="1" applyFill="1" applyBorder="1" applyAlignment="1" applyProtection="1">
      <alignment horizontal="left" vertical="center"/>
    </xf>
    <xf numFmtId="171" fontId="3" fillId="7" borderId="3" xfId="1" applyNumberFormat="1" applyFont="1" applyFill="1" applyBorder="1" applyAlignment="1" applyProtection="1">
      <alignment horizontal="right" vertical="center"/>
    </xf>
    <xf numFmtId="0" fontId="4" fillId="7" borderId="2" xfId="0" applyFont="1" applyFill="1" applyBorder="1" applyAlignment="1" applyProtection="1">
      <alignment horizontal="center" vertical="center"/>
    </xf>
    <xf numFmtId="171" fontId="3" fillId="4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171" fontId="3" fillId="4" borderId="12" xfId="1" applyNumberFormat="1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171" fontId="3" fillId="4" borderId="6" xfId="1" applyNumberFormat="1" applyFont="1" applyFill="1" applyBorder="1" applyAlignment="1" applyProtection="1">
      <alignment horizontal="center" vertical="center"/>
      <protection locked="0"/>
    </xf>
    <xf numFmtId="171" fontId="3" fillId="4" borderId="14" xfId="1" applyNumberFormat="1" applyFont="1" applyFill="1" applyBorder="1" applyAlignment="1" applyProtection="1">
      <alignment horizontal="center" vertical="center"/>
      <protection locked="0"/>
    </xf>
    <xf numFmtId="0" fontId="3" fillId="4" borderId="21" xfId="0" applyFont="1" applyFill="1" applyBorder="1" applyAlignment="1" applyProtection="1">
      <alignment horizontal="center" vertical="center"/>
      <protection locked="0"/>
    </xf>
    <xf numFmtId="171" fontId="3" fillId="4" borderId="9" xfId="1" applyNumberFormat="1" applyFont="1" applyFill="1" applyBorder="1" applyAlignment="1" applyProtection="1">
      <alignment horizontal="center" vertical="center"/>
      <protection locked="0"/>
    </xf>
    <xf numFmtId="171" fontId="3" fillId="4" borderId="22" xfId="1" applyNumberFormat="1" applyFont="1" applyFill="1" applyBorder="1" applyAlignment="1" applyProtection="1">
      <alignment horizontal="center" vertical="center"/>
      <protection locked="0"/>
    </xf>
    <xf numFmtId="171" fontId="3" fillId="4" borderId="25" xfId="1" applyNumberFormat="1" applyFont="1" applyFill="1" applyBorder="1" applyAlignment="1" applyProtection="1">
      <alignment horizontal="center" vertical="center"/>
      <protection locked="0"/>
    </xf>
    <xf numFmtId="0" fontId="3" fillId="5" borderId="18" xfId="0" applyFont="1" applyFill="1" applyBorder="1" applyAlignment="1" applyProtection="1">
      <alignment horizontal="center" vertical="center"/>
      <protection locked="0"/>
    </xf>
    <xf numFmtId="169" fontId="3" fillId="5" borderId="6" xfId="1" applyNumberFormat="1" applyFont="1" applyFill="1" applyBorder="1" applyAlignment="1" applyProtection="1">
      <alignment horizontal="center" vertical="center"/>
      <protection locked="0"/>
    </xf>
    <xf numFmtId="169" fontId="3" fillId="5" borderId="25" xfId="1" applyNumberFormat="1" applyFont="1" applyFill="1" applyBorder="1" applyAlignment="1" applyProtection="1">
      <alignment horizontal="center" vertical="center"/>
      <protection locked="0"/>
    </xf>
    <xf numFmtId="169" fontId="3" fillId="5" borderId="14" xfId="1" applyNumberFormat="1" applyFont="1" applyFill="1" applyBorder="1" applyAlignment="1" applyProtection="1">
      <alignment horizontal="center" vertical="center"/>
      <protection locked="0"/>
    </xf>
    <xf numFmtId="0" fontId="3" fillId="5" borderId="19" xfId="0" applyFont="1" applyFill="1" applyBorder="1" applyAlignment="1" applyProtection="1">
      <alignment horizontal="center" vertical="center"/>
      <protection locked="0"/>
    </xf>
    <xf numFmtId="169" fontId="3" fillId="5" borderId="16" xfId="1" applyNumberFormat="1" applyFont="1" applyFill="1" applyBorder="1" applyAlignment="1" applyProtection="1">
      <alignment horizontal="center" vertical="center"/>
      <protection locked="0"/>
    </xf>
    <xf numFmtId="169" fontId="3" fillId="5" borderId="17" xfId="1" applyNumberFormat="1" applyFont="1" applyFill="1" applyBorder="1" applyAlignment="1" applyProtection="1">
      <alignment horizontal="center" vertical="center"/>
      <protection locked="0"/>
    </xf>
    <xf numFmtId="165" fontId="5" fillId="0" borderId="8" xfId="1" applyNumberFormat="1" applyFont="1" applyFill="1" applyBorder="1" applyAlignment="1" applyProtection="1">
      <alignment horizontal="center" vertical="center"/>
    </xf>
    <xf numFmtId="165" fontId="5" fillId="0" borderId="6" xfId="1" applyNumberFormat="1" applyFont="1" applyFill="1" applyBorder="1" applyAlignment="1" applyProtection="1">
      <alignment horizontal="center" vertical="center"/>
    </xf>
    <xf numFmtId="165" fontId="4" fillId="0" borderId="5" xfId="1" applyFont="1" applyFill="1" applyBorder="1" applyAlignment="1" applyProtection="1">
      <alignment horizontal="center" vertical="center"/>
    </xf>
    <xf numFmtId="165" fontId="4" fillId="0" borderId="6" xfId="1" applyFont="1" applyBorder="1" applyAlignment="1" applyProtection="1">
      <alignment horizontal="center" vertical="center"/>
    </xf>
    <xf numFmtId="165" fontId="5" fillId="0" borderId="23" xfId="1" applyNumberFormat="1" applyFont="1" applyFill="1" applyBorder="1" applyAlignment="1" applyProtection="1">
      <alignment horizontal="center" vertical="center"/>
    </xf>
    <xf numFmtId="165" fontId="5" fillId="0" borderId="9" xfId="1" applyNumberFormat="1" applyFont="1" applyFill="1" applyBorder="1" applyAlignment="1" applyProtection="1">
      <alignment horizontal="center" vertical="center"/>
    </xf>
    <xf numFmtId="165" fontId="4" fillId="0" borderId="24" xfId="1" applyFont="1" applyFill="1" applyBorder="1" applyAlignment="1" applyProtection="1">
      <alignment horizontal="center" vertical="center"/>
    </xf>
    <xf numFmtId="165" fontId="4" fillId="0" borderId="9" xfId="1" applyFont="1" applyBorder="1" applyAlignment="1" applyProtection="1">
      <alignment horizontal="center" vertical="center"/>
    </xf>
    <xf numFmtId="165" fontId="4" fillId="0" borderId="6" xfId="1" applyFont="1" applyFill="1" applyBorder="1" applyAlignment="1" applyProtection="1">
      <alignment horizontal="center" vertical="center"/>
    </xf>
    <xf numFmtId="170" fontId="5" fillId="0" borderId="8" xfId="1" applyNumberFormat="1" applyFont="1" applyFill="1" applyBorder="1" applyAlignment="1" applyProtection="1">
      <alignment horizontal="center" vertical="center"/>
    </xf>
    <xf numFmtId="165" fontId="5" fillId="0" borderId="6" xfId="1" applyFont="1" applyFill="1" applyBorder="1" applyAlignment="1" applyProtection="1">
      <alignment horizontal="center" vertical="center"/>
    </xf>
    <xf numFmtId="170" fontId="5" fillId="0" borderId="6" xfId="1" applyNumberFormat="1" applyFont="1" applyFill="1" applyBorder="1" applyAlignment="1" applyProtection="1">
      <alignment horizontal="center" vertical="center"/>
    </xf>
    <xf numFmtId="170" fontId="4" fillId="0" borderId="6" xfId="1" applyNumberFormat="1" applyFont="1" applyBorder="1" applyAlignment="1" applyProtection="1">
      <alignment horizontal="center" vertical="center"/>
    </xf>
    <xf numFmtId="164" fontId="4" fillId="0" borderId="0" xfId="0" applyNumberFormat="1" applyFont="1" applyAlignment="1" applyProtection="1">
      <alignment horizontal="center" vertical="center"/>
    </xf>
    <xf numFmtId="3" fontId="4" fillId="0" borderId="0" xfId="0" applyNumberFormat="1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</cellXfs>
  <cellStyles count="3"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8"/>
  <sheetViews>
    <sheetView tabSelected="1" zoomScale="52" zoomScaleNormal="52" workbookViewId="0">
      <selection activeCell="D1" sqref="D1"/>
    </sheetView>
  </sheetViews>
  <sheetFormatPr baseColWidth="10" defaultRowHeight="39.75" customHeight="1" x14ac:dyDescent="0.2"/>
  <cols>
    <col min="1" max="1" width="12.7109375" style="15" bestFit="1" customWidth="1"/>
    <col min="2" max="2" width="24.5703125" style="14" customWidth="1"/>
    <col min="3" max="3" width="24" style="15" bestFit="1" customWidth="1"/>
    <col min="4" max="4" width="60.5703125" style="15" customWidth="1"/>
    <col min="5" max="5" width="26.28515625" style="15" customWidth="1"/>
    <col min="6" max="6" width="26.85546875" style="15" bestFit="1" customWidth="1"/>
    <col min="7" max="7" width="23.7109375" style="15" customWidth="1"/>
    <col min="8" max="8" width="27.140625" style="15" bestFit="1" customWidth="1"/>
    <col min="9" max="9" width="26.85546875" style="15" bestFit="1" customWidth="1"/>
    <col min="10" max="10" width="26.5703125" style="15" customWidth="1"/>
    <col min="11" max="11" width="29.42578125" style="15" bestFit="1" customWidth="1"/>
    <col min="12" max="12" width="26.140625" style="15" customWidth="1"/>
    <col min="13" max="13" width="21.7109375" style="15" bestFit="1" customWidth="1"/>
    <col min="14" max="14" width="24.28515625" style="15" bestFit="1" customWidth="1"/>
    <col min="15" max="15" width="26.85546875" style="15" bestFit="1" customWidth="1"/>
    <col min="16" max="16" width="22.140625" style="15" customWidth="1"/>
    <col min="17" max="18" width="11.42578125" style="15"/>
    <col min="19" max="19" width="17" style="15" bestFit="1" customWidth="1"/>
    <col min="20" max="16384" width="11.42578125" style="15"/>
  </cols>
  <sheetData>
    <row r="1" spans="1:19" ht="39.75" customHeight="1" thickBot="1" x14ac:dyDescent="0.25">
      <c r="C1" s="7" t="s">
        <v>19</v>
      </c>
      <c r="D1" s="94"/>
      <c r="E1" s="7"/>
      <c r="F1" s="7"/>
      <c r="G1" s="7"/>
      <c r="H1" s="7"/>
      <c r="I1" s="7"/>
      <c r="J1" s="7"/>
      <c r="K1" s="7"/>
      <c r="L1" s="7"/>
      <c r="M1" s="8"/>
      <c r="N1" s="10" t="s">
        <v>2</v>
      </c>
      <c r="O1" s="34"/>
      <c r="P1" s="9"/>
    </row>
    <row r="2" spans="1:19" ht="39.75" customHeight="1" thickBot="1" x14ac:dyDescent="0.25">
      <c r="B2" s="26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10"/>
      <c r="O2" s="9"/>
      <c r="P2" s="9"/>
    </row>
    <row r="3" spans="1:19" ht="39.75" customHeight="1" thickBot="1" x14ac:dyDescent="0.25">
      <c r="B3" s="26" t="s">
        <v>0</v>
      </c>
      <c r="C3" s="33"/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9" t="s">
        <v>13</v>
      </c>
      <c r="P3" s="35"/>
    </row>
    <row r="4" spans="1:19" ht="39.75" customHeight="1" thickBot="1" x14ac:dyDescent="0.25">
      <c r="B4" s="27" t="s">
        <v>14</v>
      </c>
      <c r="C4" s="27" t="s">
        <v>15</v>
      </c>
      <c r="D4" s="28" t="s">
        <v>16</v>
      </c>
      <c r="E4" s="28" t="s">
        <v>5</v>
      </c>
      <c r="F4" s="28" t="s">
        <v>4</v>
      </c>
      <c r="G4" s="28" t="s">
        <v>12</v>
      </c>
      <c r="H4" s="27" t="s">
        <v>6</v>
      </c>
      <c r="I4" s="27" t="s">
        <v>10</v>
      </c>
      <c r="J4" s="27" t="s">
        <v>20</v>
      </c>
      <c r="K4" s="27" t="s">
        <v>7</v>
      </c>
      <c r="L4" s="29" t="s">
        <v>1</v>
      </c>
      <c r="M4" s="30" t="s">
        <v>17</v>
      </c>
      <c r="N4" s="30" t="s">
        <v>8</v>
      </c>
      <c r="O4" s="27" t="s">
        <v>18</v>
      </c>
      <c r="P4" s="31" t="s">
        <v>14</v>
      </c>
    </row>
    <row r="5" spans="1:19" ht="46.5" customHeight="1" x14ac:dyDescent="0.2">
      <c r="A5" s="95" t="s">
        <v>21</v>
      </c>
      <c r="B5" s="52"/>
      <c r="C5" s="11"/>
      <c r="D5" s="63"/>
      <c r="E5" s="62"/>
      <c r="F5" s="62"/>
      <c r="G5" s="62"/>
      <c r="H5" s="62"/>
      <c r="I5" s="62"/>
      <c r="J5" s="62"/>
      <c r="K5" s="64"/>
      <c r="L5" s="79">
        <f>SUM(E5:K5)</f>
        <v>0</v>
      </c>
      <c r="M5" s="80">
        <f t="shared" ref="M5:M11" si="0">(L5-J5-K5)*2/100</f>
        <v>0</v>
      </c>
      <c r="N5" s="81"/>
      <c r="O5" s="82"/>
      <c r="P5" s="11"/>
    </row>
    <row r="6" spans="1:19" ht="46.5" customHeight="1" x14ac:dyDescent="0.2">
      <c r="A6" s="96"/>
      <c r="B6" s="52"/>
      <c r="C6" s="11"/>
      <c r="D6" s="65"/>
      <c r="E6" s="66"/>
      <c r="F6" s="66"/>
      <c r="G6" s="66"/>
      <c r="H6" s="66"/>
      <c r="I6" s="66"/>
      <c r="J6" s="66"/>
      <c r="K6" s="67"/>
      <c r="L6" s="79">
        <f>SUM(E6:K6)</f>
        <v>0</v>
      </c>
      <c r="M6" s="80">
        <f t="shared" si="0"/>
        <v>0</v>
      </c>
      <c r="N6" s="81"/>
      <c r="O6" s="82"/>
      <c r="P6" s="11"/>
      <c r="S6" s="92"/>
    </row>
    <row r="7" spans="1:19" ht="46.5" customHeight="1" thickBot="1" x14ac:dyDescent="0.25">
      <c r="A7" s="97"/>
      <c r="B7" s="53"/>
      <c r="C7" s="46"/>
      <c r="D7" s="68"/>
      <c r="E7" s="69"/>
      <c r="F7" s="69"/>
      <c r="G7" s="69"/>
      <c r="H7" s="69"/>
      <c r="I7" s="69"/>
      <c r="J7" s="69"/>
      <c r="K7" s="70"/>
      <c r="L7" s="83">
        <f t="shared" ref="L7:L18" si="1">SUM(E7:K7)</f>
        <v>0</v>
      </c>
      <c r="M7" s="80">
        <f t="shared" si="0"/>
        <v>0</v>
      </c>
      <c r="N7" s="85"/>
      <c r="O7" s="86"/>
      <c r="P7" s="46"/>
    </row>
    <row r="8" spans="1:19" ht="46.5" customHeight="1" thickBot="1" x14ac:dyDescent="0.25">
      <c r="B8" s="47"/>
      <c r="C8" s="48"/>
      <c r="D8" s="54"/>
      <c r="E8" s="59"/>
      <c r="F8" s="60"/>
      <c r="G8" s="60"/>
      <c r="H8" s="60"/>
      <c r="I8" s="60"/>
      <c r="J8" s="60"/>
      <c r="K8" s="60"/>
      <c r="L8" s="49"/>
      <c r="M8" s="49"/>
      <c r="N8" s="50"/>
      <c r="O8" s="50"/>
      <c r="P8" s="51"/>
    </row>
    <row r="9" spans="1:19" ht="46.5" customHeight="1" x14ac:dyDescent="0.2">
      <c r="A9" s="95" t="s">
        <v>22</v>
      </c>
      <c r="B9" s="52"/>
      <c r="C9" s="11"/>
      <c r="D9" s="65"/>
      <c r="E9" s="66"/>
      <c r="F9" s="66"/>
      <c r="G9" s="66"/>
      <c r="H9" s="66"/>
      <c r="I9" s="66"/>
      <c r="J9" s="66"/>
      <c r="K9" s="71"/>
      <c r="L9" s="79">
        <f t="shared" si="1"/>
        <v>0</v>
      </c>
      <c r="M9" s="80">
        <f t="shared" si="0"/>
        <v>0</v>
      </c>
      <c r="N9" s="87"/>
      <c r="O9" s="82"/>
      <c r="P9" s="11"/>
      <c r="S9" s="92"/>
    </row>
    <row r="10" spans="1:19" ht="46.5" customHeight="1" x14ac:dyDescent="0.2">
      <c r="A10" s="96"/>
      <c r="B10" s="52"/>
      <c r="C10" s="11"/>
      <c r="D10" s="65"/>
      <c r="E10" s="66"/>
      <c r="F10" s="66"/>
      <c r="G10" s="66"/>
      <c r="H10" s="66"/>
      <c r="I10" s="66"/>
      <c r="J10" s="66"/>
      <c r="K10" s="67"/>
      <c r="L10" s="79">
        <f t="shared" si="1"/>
        <v>0</v>
      </c>
      <c r="M10" s="80">
        <f t="shared" si="0"/>
        <v>0</v>
      </c>
      <c r="N10" s="81"/>
      <c r="O10" s="82"/>
      <c r="P10" s="11"/>
      <c r="S10" s="92"/>
    </row>
    <row r="11" spans="1:19" ht="46.5" customHeight="1" thickBot="1" x14ac:dyDescent="0.25">
      <c r="A11" s="96"/>
      <c r="B11" s="53"/>
      <c r="C11" s="46"/>
      <c r="D11" s="68"/>
      <c r="E11" s="69"/>
      <c r="F11" s="69"/>
      <c r="G11" s="69"/>
      <c r="H11" s="69"/>
      <c r="I11" s="69"/>
      <c r="J11" s="69"/>
      <c r="K11" s="70"/>
      <c r="L11" s="83">
        <f t="shared" si="1"/>
        <v>0</v>
      </c>
      <c r="M11" s="84">
        <f t="shared" si="0"/>
        <v>0</v>
      </c>
      <c r="N11" s="85"/>
      <c r="O11" s="86"/>
      <c r="P11" s="46"/>
    </row>
    <row r="12" spans="1:19" ht="46.5" customHeight="1" thickBot="1" x14ac:dyDescent="0.25">
      <c r="A12" s="61"/>
      <c r="B12" s="48"/>
      <c r="C12" s="48"/>
      <c r="D12" s="54" t="s">
        <v>9</v>
      </c>
      <c r="E12" s="55"/>
      <c r="F12" s="56"/>
      <c r="G12" s="56"/>
      <c r="H12" s="56"/>
      <c r="I12" s="56"/>
      <c r="J12" s="56"/>
      <c r="K12" s="56"/>
      <c r="L12" s="57"/>
      <c r="M12" s="58"/>
      <c r="N12" s="50"/>
      <c r="O12" s="50"/>
      <c r="P12" s="51"/>
    </row>
    <row r="13" spans="1:19" ht="46.5" customHeight="1" x14ac:dyDescent="0.2">
      <c r="A13" s="96" t="s">
        <v>23</v>
      </c>
      <c r="B13" s="52"/>
      <c r="C13" s="12"/>
      <c r="D13" s="72"/>
      <c r="E13" s="73"/>
      <c r="F13" s="73"/>
      <c r="G13" s="73"/>
      <c r="H13" s="73"/>
      <c r="I13" s="73"/>
      <c r="J13" s="73"/>
      <c r="K13" s="74"/>
      <c r="L13" s="88">
        <f t="shared" si="1"/>
        <v>0</v>
      </c>
      <c r="M13" s="89"/>
      <c r="N13" s="90">
        <f>(L13-J13-K13)*2.5/100</f>
        <v>0</v>
      </c>
      <c r="O13" s="91">
        <f>IF(ISNUMBER(SEARCH("ACOPIO", D13)), "SIN BONIFICACION", (E13+J13)*2%)</f>
        <v>0</v>
      </c>
      <c r="P13" s="11"/>
    </row>
    <row r="14" spans="1:19" ht="46.5" customHeight="1" x14ac:dyDescent="0.2">
      <c r="A14" s="96"/>
      <c r="B14" s="52"/>
      <c r="C14" s="12"/>
      <c r="D14" s="72"/>
      <c r="E14" s="73"/>
      <c r="F14" s="73"/>
      <c r="G14" s="73"/>
      <c r="H14" s="73"/>
      <c r="I14" s="73"/>
      <c r="J14" s="73"/>
      <c r="K14" s="75"/>
      <c r="L14" s="88">
        <f t="shared" si="1"/>
        <v>0</v>
      </c>
      <c r="M14" s="89"/>
      <c r="N14" s="90">
        <f t="shared" ref="N14:N18" si="2">(L14-J14-K14)*2.5/100</f>
        <v>0</v>
      </c>
      <c r="O14" s="91">
        <f>IF(ISNUMBER(SEARCH("ACOPIO", D14)), "SIN BONIFICACION", (E14+J14)*2%)</f>
        <v>0</v>
      </c>
      <c r="P14" s="11"/>
    </row>
    <row r="15" spans="1:19" ht="46.5" customHeight="1" x14ac:dyDescent="0.2">
      <c r="A15" s="96"/>
      <c r="B15" s="52"/>
      <c r="C15" s="12"/>
      <c r="D15" s="72"/>
      <c r="E15" s="73"/>
      <c r="F15" s="73"/>
      <c r="G15" s="73"/>
      <c r="H15" s="73"/>
      <c r="I15" s="73"/>
      <c r="J15" s="73"/>
      <c r="K15" s="75"/>
      <c r="L15" s="88">
        <f t="shared" si="1"/>
        <v>0</v>
      </c>
      <c r="M15" s="89"/>
      <c r="N15" s="90">
        <f>(L15-J15-K15)*2.5/100</f>
        <v>0</v>
      </c>
      <c r="O15" s="91">
        <f>IF(ISNUMBER(SEARCH("ACOPIO", D15)), "SIN BONIFICACION", (E15+J15)*2%)</f>
        <v>0</v>
      </c>
      <c r="P15" s="11"/>
    </row>
    <row r="16" spans="1:19" ht="46.5" customHeight="1" x14ac:dyDescent="0.2">
      <c r="A16" s="96"/>
      <c r="B16" s="52"/>
      <c r="C16" s="12"/>
      <c r="D16" s="72"/>
      <c r="E16" s="73"/>
      <c r="F16" s="73"/>
      <c r="G16" s="73"/>
      <c r="H16" s="73"/>
      <c r="I16" s="73"/>
      <c r="J16" s="73"/>
      <c r="K16" s="75"/>
      <c r="L16" s="88">
        <f t="shared" si="1"/>
        <v>0</v>
      </c>
      <c r="M16" s="89"/>
      <c r="N16" s="90">
        <f t="shared" si="2"/>
        <v>0</v>
      </c>
      <c r="O16" s="91">
        <f t="shared" ref="O16:O18" si="3">IF(ISNUMBER(SEARCH("ACOPIO", D16)), "SIN BONIFICACION", (E16+J16)*2%)</f>
        <v>0</v>
      </c>
      <c r="P16" s="11"/>
    </row>
    <row r="17" spans="1:16" ht="46.5" customHeight="1" x14ac:dyDescent="0.2">
      <c r="A17" s="96"/>
      <c r="B17" s="52"/>
      <c r="C17" s="12"/>
      <c r="D17" s="72"/>
      <c r="E17" s="73"/>
      <c r="F17" s="73"/>
      <c r="G17" s="73"/>
      <c r="H17" s="73"/>
      <c r="I17" s="73"/>
      <c r="J17" s="73"/>
      <c r="K17" s="75"/>
      <c r="L17" s="88">
        <f t="shared" si="1"/>
        <v>0</v>
      </c>
      <c r="M17" s="89"/>
      <c r="N17" s="90">
        <f t="shared" si="2"/>
        <v>0</v>
      </c>
      <c r="O17" s="91">
        <f t="shared" si="3"/>
        <v>0</v>
      </c>
      <c r="P17" s="11"/>
    </row>
    <row r="18" spans="1:16" ht="46.5" customHeight="1" thickBot="1" x14ac:dyDescent="0.25">
      <c r="A18" s="97"/>
      <c r="B18" s="52"/>
      <c r="C18" s="12"/>
      <c r="D18" s="76"/>
      <c r="E18" s="77"/>
      <c r="F18" s="77"/>
      <c r="G18" s="77"/>
      <c r="H18" s="77"/>
      <c r="I18" s="77"/>
      <c r="J18" s="77"/>
      <c r="K18" s="78"/>
      <c r="L18" s="88">
        <f t="shared" si="1"/>
        <v>0</v>
      </c>
      <c r="M18" s="89"/>
      <c r="N18" s="90">
        <f t="shared" si="2"/>
        <v>0</v>
      </c>
      <c r="O18" s="91">
        <f t="shared" si="3"/>
        <v>0</v>
      </c>
      <c r="P18" s="11"/>
    </row>
    <row r="19" spans="1:16" ht="46.5" customHeight="1" thickBot="1" x14ac:dyDescent="0.25">
      <c r="B19" s="11"/>
      <c r="C19" s="11"/>
      <c r="D19" s="13"/>
      <c r="E19" s="4"/>
      <c r="F19" s="5"/>
      <c r="G19" s="5"/>
      <c r="H19" s="5"/>
      <c r="I19" s="5"/>
      <c r="J19" s="5"/>
      <c r="K19" s="32"/>
      <c r="L19" s="1"/>
      <c r="M19" s="1"/>
      <c r="N19" s="2"/>
      <c r="O19" s="3"/>
      <c r="P19" s="11"/>
    </row>
    <row r="20" spans="1:16" ht="39.75" customHeight="1" thickBot="1" x14ac:dyDescent="0.25">
      <c r="D20" s="16" t="s">
        <v>1</v>
      </c>
      <c r="E20" s="45">
        <f>SUM(E5:E18)</f>
        <v>0</v>
      </c>
      <c r="F20" s="45">
        <f>SUM(F5:F19)</f>
        <v>0</v>
      </c>
      <c r="G20" s="45">
        <f>SUM(G5:G19)</f>
        <v>0</v>
      </c>
      <c r="H20" s="45">
        <f t="shared" ref="H20:O20" si="4">SUM(H5:H19)</f>
        <v>0</v>
      </c>
      <c r="I20" s="45">
        <f t="shared" si="4"/>
        <v>0</v>
      </c>
      <c r="J20" s="45">
        <f t="shared" si="4"/>
        <v>0</v>
      </c>
      <c r="K20" s="45">
        <f>SUM(K5:K19)</f>
        <v>0</v>
      </c>
      <c r="L20" s="6">
        <f t="shared" si="4"/>
        <v>0</v>
      </c>
      <c r="M20" s="6">
        <f t="shared" si="4"/>
        <v>0</v>
      </c>
      <c r="N20" s="6">
        <f t="shared" si="4"/>
        <v>0</v>
      </c>
      <c r="O20" s="6">
        <f t="shared" si="4"/>
        <v>0</v>
      </c>
      <c r="P20" s="17"/>
    </row>
    <row r="21" spans="1:16" ht="21.75" thickBot="1" x14ac:dyDescent="0.25">
      <c r="F21" s="18"/>
      <c r="G21" s="18"/>
      <c r="H21" s="19"/>
      <c r="I21" s="19"/>
      <c r="J21" s="19"/>
      <c r="K21" s="19"/>
      <c r="L21" s="19"/>
      <c r="M21" s="19"/>
      <c r="N21" s="19"/>
      <c r="O21" s="19"/>
      <c r="P21" s="17"/>
    </row>
    <row r="22" spans="1:16" ht="39.75" customHeight="1" thickBot="1" x14ac:dyDescent="0.25">
      <c r="D22" s="20" t="s">
        <v>3</v>
      </c>
      <c r="E22" s="21" t="s">
        <v>9</v>
      </c>
      <c r="F22" s="22"/>
      <c r="G22" s="22"/>
      <c r="H22" s="43">
        <f>+E20</f>
        <v>0</v>
      </c>
      <c r="K22" s="36" t="str">
        <f>M4</f>
        <v>COMISION 2%</v>
      </c>
      <c r="L22" s="37">
        <f>+M20</f>
        <v>0</v>
      </c>
      <c r="N22" s="42"/>
      <c r="O22" s="42"/>
    </row>
    <row r="23" spans="1:16" ht="39.75" customHeight="1" thickBot="1" x14ac:dyDescent="0.25">
      <c r="D23" s="23" t="s">
        <v>11</v>
      </c>
      <c r="E23" s="24" t="s">
        <v>9</v>
      </c>
      <c r="F23" s="25" t="s">
        <v>9</v>
      </c>
      <c r="G23" s="25"/>
      <c r="H23" s="44"/>
      <c r="K23" s="38" t="str">
        <f>N4</f>
        <v>COMISION 2,5%</v>
      </c>
      <c r="L23" s="39">
        <f>+N20</f>
        <v>0</v>
      </c>
      <c r="N23" s="42"/>
      <c r="O23" s="42"/>
    </row>
    <row r="24" spans="1:16" ht="39.75" customHeight="1" thickBot="1" x14ac:dyDescent="0.25">
      <c r="D24" s="20" t="s">
        <v>3</v>
      </c>
      <c r="E24" s="21" t="s">
        <v>9</v>
      </c>
      <c r="F24" s="22"/>
      <c r="G24" s="22"/>
      <c r="H24" s="43">
        <f>+H22-H23</f>
        <v>0</v>
      </c>
      <c r="K24" s="40" t="s">
        <v>1</v>
      </c>
      <c r="L24" s="41">
        <f>SUM(L22:L23)</f>
        <v>0</v>
      </c>
      <c r="N24" s="42"/>
      <c r="O24" s="42"/>
    </row>
    <row r="25" spans="1:16" ht="39.75" customHeight="1" x14ac:dyDescent="0.2">
      <c r="F25" s="93" t="s">
        <v>9</v>
      </c>
      <c r="G25" s="93"/>
      <c r="N25" s="42"/>
      <c r="O25" s="42"/>
    </row>
    <row r="26" spans="1:16" ht="39.75" customHeight="1" x14ac:dyDescent="0.2">
      <c r="N26" s="42"/>
      <c r="O26" s="42"/>
    </row>
    <row r="27" spans="1:16" ht="39.75" customHeight="1" x14ac:dyDescent="0.2">
      <c r="F27" s="15" t="s">
        <v>9</v>
      </c>
      <c r="N27" s="42"/>
      <c r="O27" s="42"/>
    </row>
    <row r="28" spans="1:16" ht="39.75" customHeight="1" x14ac:dyDescent="0.2">
      <c r="F28" s="15" t="s">
        <v>9</v>
      </c>
    </row>
  </sheetData>
  <sheetProtection selectLockedCells="1"/>
  <protectedRanges>
    <protectedRange algorithmName="SHA-512" hashValue="MOV8dxWDciNwDrxFp7Z0/3soga+P3IwvmCwtoRh1sYUhjGmaG3Bp/E5KLuF/IQPwt/9lg4H8+ggZn80qcXuuGg==" saltValue="GQspHQlfG4DYmavu0s8JFg==" spinCount="100000" sqref="D12:K12 K22:L24 L5:L11 N5:O11 O21:P24 L21:N21 D20:P20 B5:C19 D19:O19 P5:P19 L12:O18" name="Rango1"/>
    <protectedRange sqref="M5:M11" name="Rango1_1"/>
  </protectedRanges>
  <mergeCells count="3">
    <mergeCell ref="A5:A7"/>
    <mergeCell ref="A9:A11"/>
    <mergeCell ref="A13:A18"/>
  </mergeCells>
  <pageMargins left="0.31496062992125984" right="0.31496062992125984" top="1.1417322834645669" bottom="0.74803149606299213" header="0.31496062992125984" footer="0.31496062992125984"/>
  <pageSetup scale="3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Rendición</vt:lpstr>
      <vt:lpstr>Rendición!Área_de_impresión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Pedidos</cp:lastModifiedBy>
  <cp:lastPrinted>2025-06-12T15:30:18Z</cp:lastPrinted>
  <dcterms:created xsi:type="dcterms:W3CDTF">2011-12-15T19:08:52Z</dcterms:created>
  <dcterms:modified xsi:type="dcterms:W3CDTF">2026-01-27T14:32:52Z</dcterms:modified>
</cp:coreProperties>
</file>